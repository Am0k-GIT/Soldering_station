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ogleDrive\Open Hardware\Soldering_station\hardware\"/>
    </mc:Choice>
  </mc:AlternateContent>
  <xr:revisionPtr revIDLastSave="0" documentId="13_ncr:1_{693D6A10-E49C-4F7B-B321-D58AC970A4E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BOM_Soldering_station_p1" sheetId="3" r:id="rId1"/>
    <sheet name="BOM_Soldering_station_p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G30" i="1"/>
  <c r="G60" i="3"/>
  <c r="G58" i="3"/>
  <c r="G57" i="3"/>
  <c r="G56" i="3"/>
  <c r="G54" i="3"/>
  <c r="G53" i="3"/>
  <c r="G52" i="3"/>
  <c r="G51" i="3"/>
  <c r="G50" i="3"/>
  <c r="G49" i="3"/>
  <c r="G47" i="3"/>
  <c r="G46" i="3"/>
  <c r="G45" i="3"/>
  <c r="G44" i="3"/>
  <c r="G43" i="3"/>
  <c r="G42" i="3"/>
  <c r="G39" i="3"/>
  <c r="G37" i="3"/>
  <c r="G36" i="3"/>
  <c r="G34" i="3"/>
  <c r="G33" i="3"/>
  <c r="G31" i="3"/>
  <c r="G29" i="3"/>
  <c r="G28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1" i="3"/>
  <c r="G10" i="3"/>
  <c r="G9" i="3"/>
  <c r="G8" i="3"/>
  <c r="G7" i="3"/>
  <c r="G6" i="3"/>
  <c r="G5" i="3"/>
  <c r="G4" i="3"/>
  <c r="G3" i="3"/>
  <c r="G62" i="3" s="1"/>
  <c r="G7" i="1"/>
  <c r="G28" i="1" l="1"/>
  <c r="G27" i="1"/>
  <c r="G26" i="1"/>
  <c r="G25" i="1"/>
  <c r="G21" i="1"/>
  <c r="G20" i="1"/>
  <c r="G17" i="1"/>
  <c r="G15" i="1"/>
  <c r="G13" i="1"/>
  <c r="G11" i="1"/>
  <c r="G10" i="1"/>
  <c r="G9" i="1"/>
  <c r="G8" i="1"/>
  <c r="G6" i="1"/>
  <c r="G5" i="1"/>
  <c r="G3" i="1"/>
  <c r="G32" i="1" l="1"/>
</calcChain>
</file>

<file path=xl/sharedStrings.xml><?xml version="1.0" encoding="utf-8"?>
<sst xmlns="http://schemas.openxmlformats.org/spreadsheetml/2006/main" count="228" uniqueCount="169">
  <si>
    <t>1uF</t>
  </si>
  <si>
    <t>C103,C205,C511</t>
  </si>
  <si>
    <t>C0805</t>
  </si>
  <si>
    <t>22Ω</t>
  </si>
  <si>
    <t>R101</t>
  </si>
  <si>
    <t>5.1kΩ</t>
  </si>
  <si>
    <t>R0805</t>
  </si>
  <si>
    <t>4.7kΩ*</t>
  </si>
  <si>
    <t>KF2EDGRC-5.08-5P</t>
  </si>
  <si>
    <t>HOTAIR,IRON</t>
  </si>
  <si>
    <t>CONN-TH_5P-P5.08_KF2EDGRC-5.08-5P</t>
  </si>
  <si>
    <t>KF2EDGRC-5.08-2P</t>
  </si>
  <si>
    <t>POWER</t>
  </si>
  <si>
    <t>CONN-TH_P5.08_KF2EDGRC-5.08-2P</t>
  </si>
  <si>
    <t>10Ω</t>
  </si>
  <si>
    <t>R521</t>
  </si>
  <si>
    <t>PESD3V3L1UA</t>
  </si>
  <si>
    <t>D303,D302,D301</t>
  </si>
  <si>
    <t>100nF</t>
  </si>
  <si>
    <t>C302,C602,C207,C208,C209,C210,C201,C104,C105,C106,C108,C109,C204,C301,C303,C401,C501,C502,C503,C504,C512,C513,C601</t>
  </si>
  <si>
    <t>C0603</t>
  </si>
  <si>
    <t>32.768K</t>
  </si>
  <si>
    <t>XTAL2</t>
  </si>
  <si>
    <t>CRYSTAL-TH_BD3.0-P1.10-D0.4</t>
  </si>
  <si>
    <t>10kΩ</t>
  </si>
  <si>
    <t>R408,R410,R414,R604,R402,R517,R518,R519,R511,R512,R513,R201,R307,R312,R314,R502,R504,R506,R508,R522,R523,R602</t>
  </si>
  <si>
    <t>BC817-40</t>
  </si>
  <si>
    <t>Q4,Q6,Q1</t>
  </si>
  <si>
    <t>FDD6637</t>
  </si>
  <si>
    <t>Q5,Q7,Q2,Q3</t>
  </si>
  <si>
    <t>1kΩ</t>
  </si>
  <si>
    <t>R409,R413,R603,R401,R315,R501,R503,R505,R507,R509,R510,R514,R515,R516,R520,R601</t>
  </si>
  <si>
    <t>BX-PH2.0-3PWZ-Y</t>
  </si>
  <si>
    <t>EXT_SENSOR</t>
  </si>
  <si>
    <t>CONN-TH_BX-PH2.0-3PWZ-Y</t>
  </si>
  <si>
    <t>XH2.54-4AW</t>
  </si>
  <si>
    <t>CONTROL</t>
  </si>
  <si>
    <t>CONN-TH_XH2.54-4AW</t>
  </si>
  <si>
    <t>L201</t>
  </si>
  <si>
    <t>L0805</t>
  </si>
  <si>
    <t>0.1uF</t>
  </si>
  <si>
    <t>C101</t>
  </si>
  <si>
    <t>680uF/35V</t>
  </si>
  <si>
    <t>C102</t>
  </si>
  <si>
    <t>78M05D</t>
  </si>
  <si>
    <t>U1</t>
  </si>
  <si>
    <t>LM1117-3.3</t>
  </si>
  <si>
    <t>U2</t>
  </si>
  <si>
    <t>ACS712-20A</t>
  </si>
  <si>
    <t>U5</t>
  </si>
  <si>
    <t>10nF</t>
  </si>
  <si>
    <t>C206,C304,C306,C305,C307,C203,C505,C506,C507,C508,C509,C510</t>
  </si>
  <si>
    <t>AD823ARZ</t>
  </si>
  <si>
    <t>U4</t>
  </si>
  <si>
    <t>B1</t>
  </si>
  <si>
    <t>RST</t>
  </si>
  <si>
    <t>SWITCH SMD 4X3MM 4PIN  700955694179</t>
  </si>
  <si>
    <t>SS34</t>
  </si>
  <si>
    <t>D304,D305,D306,D307,D101</t>
  </si>
  <si>
    <t>1MΩ</t>
  </si>
  <si>
    <t>1nF</t>
  </si>
  <si>
    <t>C402</t>
  </si>
  <si>
    <t>SMD 1808</t>
  </si>
  <si>
    <t>F1</t>
  </si>
  <si>
    <t>SMD FUSEHOLDER</t>
  </si>
  <si>
    <t>L101,L102</t>
  </si>
  <si>
    <t>22uF/10V</t>
  </si>
  <si>
    <t>C107,C211</t>
  </si>
  <si>
    <t>NTC</t>
  </si>
  <si>
    <t>NTC-MF52AT 100K</t>
  </si>
  <si>
    <t>1.27_1x6</t>
  </si>
  <si>
    <t>DEBUG</t>
  </si>
  <si>
    <t>HEADER-MALE-1.27_1X6</t>
  </si>
  <si>
    <t>KF301-5.0-2P</t>
  </si>
  <si>
    <t>FAN</t>
  </si>
  <si>
    <t>CONN-TH_P5.00_KF301-5.0-2P</t>
  </si>
  <si>
    <t>TFT</t>
  </si>
  <si>
    <t>15pF</t>
  </si>
  <si>
    <t>C212,C213,C214,C215</t>
  </si>
  <si>
    <t>EN1,EN2</t>
  </si>
  <si>
    <t>SW-TH_PEC11R-4XXXF-SXXXX</t>
  </si>
  <si>
    <t>TS-1273SY</t>
  </si>
  <si>
    <t>K_1,K_2,K_3,K_4</t>
  </si>
  <si>
    <t>KEY-SMD_4P-L12.0-W12.0-P5.00-LS15.2-1</t>
  </si>
  <si>
    <t>100kΩ</t>
  </si>
  <si>
    <t>R202,R203</t>
  </si>
  <si>
    <t>STM32F401RCT6</t>
  </si>
  <si>
    <t>U3</t>
  </si>
  <si>
    <t>8M</t>
  </si>
  <si>
    <t>XTAL1</t>
  </si>
  <si>
    <t>X2-SMD-5.0X3.2X1.3MM</t>
  </si>
  <si>
    <t>4.7uF</t>
  </si>
  <si>
    <t>C216</t>
  </si>
  <si>
    <t>Capacitors</t>
  </si>
  <si>
    <t>Resistors</t>
  </si>
  <si>
    <t>Fuses</t>
  </si>
  <si>
    <t>Oscillators</t>
  </si>
  <si>
    <t>Diodes</t>
  </si>
  <si>
    <t>Transistors</t>
  </si>
  <si>
    <t>IC</t>
  </si>
  <si>
    <t>U6</t>
  </si>
  <si>
    <t>Connectors</t>
  </si>
  <si>
    <t>Buttons</t>
  </si>
  <si>
    <t>Modules</t>
  </si>
  <si>
    <t>TFT 1.77'</t>
  </si>
  <si>
    <t>SOT-23-3</t>
  </si>
  <si>
    <t>TO-252</t>
  </si>
  <si>
    <t>LQFP-64</t>
  </si>
  <si>
    <t>SOIC-8</t>
  </si>
  <si>
    <t>SMA</t>
  </si>
  <si>
    <t>SOD-323</t>
  </si>
  <si>
    <t>CASE-A</t>
  </si>
  <si>
    <t>Цена</t>
  </si>
  <si>
    <t>Итоговая цена</t>
  </si>
  <si>
    <t>240kΩ*</t>
  </si>
  <si>
    <t>100kΩ*</t>
  </si>
  <si>
    <t>R310</t>
  </si>
  <si>
    <t>R305</t>
  </si>
  <si>
    <t>Кол-во</t>
  </si>
  <si>
    <t>AT24C32</t>
  </si>
  <si>
    <t>TH capacitor W10.0 P5.0 D0.6</t>
  </si>
  <si>
    <t>10Ω/100MHz</t>
  </si>
  <si>
    <t>100Ω/100MHz</t>
  </si>
  <si>
    <t>Ferrite Beads</t>
  </si>
  <si>
    <t>EN11</t>
  </si>
  <si>
    <t>3.6kΩ</t>
  </si>
  <si>
    <t>R407</t>
  </si>
  <si>
    <t>R304,R309,R411,R412,R415,R416,R403,R404,R405,R406</t>
  </si>
  <si>
    <t>1kΩ*</t>
  </si>
  <si>
    <t>R306,R311</t>
  </si>
  <si>
    <t>R301,R302,R303</t>
  </si>
  <si>
    <t>MF52AT 10k</t>
  </si>
  <si>
    <t>2MΩ</t>
  </si>
  <si>
    <t>R308,R313</t>
  </si>
  <si>
    <t>R204</t>
  </si>
  <si>
    <t>TH L16.0-W5.5-P15.00-D1.2</t>
  </si>
  <si>
    <t>220Ω</t>
  </si>
  <si>
    <t>510Ω</t>
  </si>
  <si>
    <t>R107,R111</t>
  </si>
  <si>
    <t>R108,R109,R112,R113</t>
  </si>
  <si>
    <t>R102,R106,R110</t>
  </si>
  <si>
    <t>39Ω</t>
  </si>
  <si>
    <t>R105</t>
  </si>
  <si>
    <t>TH resistor 0.25W</t>
  </si>
  <si>
    <t>TH resistor 1W</t>
  </si>
  <si>
    <t>360Ω</t>
  </si>
  <si>
    <t>R103,R104</t>
  </si>
  <si>
    <t>SMD 1206</t>
  </si>
  <si>
    <t>SMD 1206 0.5A</t>
  </si>
  <si>
    <t>SS56</t>
  </si>
  <si>
    <t>D1,D2,D3</t>
  </si>
  <si>
    <t>SI2309A</t>
  </si>
  <si>
    <t>Q2,Q3</t>
  </si>
  <si>
    <t>BTA12-600</t>
  </si>
  <si>
    <t>Q1</t>
  </si>
  <si>
    <t>TO-220</t>
  </si>
  <si>
    <t>MOC3063SR2M</t>
  </si>
  <si>
    <t>SOP-6</t>
  </si>
  <si>
    <t>PC817S</t>
  </si>
  <si>
    <t>U2,U3</t>
  </si>
  <si>
    <t>SMD-4</t>
  </si>
  <si>
    <t>Relays</t>
  </si>
  <si>
    <t>SRD-DC24V-SL-C</t>
  </si>
  <si>
    <t>K1,K2,K3</t>
  </si>
  <si>
    <t>BUTTON,INPUT,POWER_SUPPLY</t>
  </si>
  <si>
    <t>KF2EDGRC-5.08-3P</t>
  </si>
  <si>
    <t>POWER_1,POWER_2</t>
  </si>
  <si>
    <t>SMD</t>
  </si>
  <si>
    <t>XH2.54-2AW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</si>
</sst>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10" xfId="0" applyFill="1" applyBorder="1" applyAlignment="1">
      <alignment horizontal="center" vertical="center"/>
    </xf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 applyAlignment="1">
      <alignment horizontal="center" vertical="center"/>
    </xf>
    <xf numFmtId="0" fontId="0" fillId="37" borderId="10" xfId="0" applyFont="1" applyFill="1" applyBorder="1" applyAlignment="1">
      <alignment horizontal="center" vertical="center"/>
    </xf>
    <xf numFmtId="0" fontId="0" fillId="37" borderId="10" xfId="0" applyFont="1" applyFill="1" applyBorder="1"/>
    <xf numFmtId="0" fontId="0" fillId="37" borderId="10" xfId="0" applyFill="1" applyBorder="1" applyAlignment="1">
      <alignment horizontal="center" vertical="center"/>
    </xf>
    <xf numFmtId="16" fontId="0" fillId="34" borderId="10" xfId="0" applyNumberFormat="1" applyFill="1" applyBorder="1"/>
    <xf numFmtId="0" fontId="0" fillId="38" borderId="10" xfId="0" applyFill="1" applyBorder="1" applyAlignment="1">
      <alignment horizontal="center" vertical="center"/>
    </xf>
    <xf numFmtId="0" fontId="0" fillId="38" borderId="10" xfId="0" applyFill="1" applyBorder="1"/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5" borderId="11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A864-3C01-4216-A478-7D88D7DCB0A1}">
  <dimension ref="A1:G62"/>
  <sheetViews>
    <sheetView tabSelected="1" zoomScaleNormal="100" workbookViewId="0">
      <selection activeCell="D25" sqref="D25"/>
    </sheetView>
  </sheetViews>
  <sheetFormatPr defaultRowHeight="14.5" x14ac:dyDescent="0.35"/>
  <cols>
    <col min="2" max="2" width="18.1796875" customWidth="1"/>
    <col min="3" max="3" width="77.08984375" customWidth="1"/>
    <col min="4" max="4" width="34.6328125" customWidth="1"/>
    <col min="5" max="5" width="9.6328125" customWidth="1"/>
    <col min="6" max="7" width="13.6328125" customWidth="1"/>
  </cols>
  <sheetData>
    <row r="1" spans="1:7" x14ac:dyDescent="0.35">
      <c r="A1" s="16"/>
      <c r="B1" s="17"/>
      <c r="C1" s="17"/>
      <c r="D1" s="18"/>
      <c r="E1" s="1" t="s">
        <v>118</v>
      </c>
      <c r="F1" s="10" t="s">
        <v>112</v>
      </c>
      <c r="G1" s="6" t="s">
        <v>113</v>
      </c>
    </row>
    <row r="2" spans="1:7" x14ac:dyDescent="0.35">
      <c r="A2" s="15" t="s">
        <v>93</v>
      </c>
      <c r="B2" s="15"/>
      <c r="C2" s="15"/>
      <c r="D2" s="15"/>
      <c r="E2" s="2"/>
      <c r="F2" s="11"/>
      <c r="G2" s="7"/>
    </row>
    <row r="3" spans="1:7" x14ac:dyDescent="0.35">
      <c r="A3" s="2"/>
      <c r="B3" s="2" t="s">
        <v>77</v>
      </c>
      <c r="C3" s="2" t="s">
        <v>78</v>
      </c>
      <c r="D3" s="2" t="s">
        <v>20</v>
      </c>
      <c r="E3" s="2">
        <v>4</v>
      </c>
      <c r="F3" s="10">
        <v>1</v>
      </c>
      <c r="G3" s="6">
        <f>E3*F3</f>
        <v>4</v>
      </c>
    </row>
    <row r="4" spans="1:7" x14ac:dyDescent="0.35">
      <c r="A4" s="2"/>
      <c r="B4" s="2" t="s">
        <v>60</v>
      </c>
      <c r="C4" s="2" t="s">
        <v>61</v>
      </c>
      <c r="D4" s="2" t="s">
        <v>20</v>
      </c>
      <c r="E4" s="2">
        <v>1</v>
      </c>
      <c r="F4" s="10">
        <v>1</v>
      </c>
      <c r="G4" s="6">
        <f t="shared" ref="G4:G11" si="0">E4*F4</f>
        <v>1</v>
      </c>
    </row>
    <row r="5" spans="1:7" x14ac:dyDescent="0.35">
      <c r="A5" s="2"/>
      <c r="B5" s="2" t="s">
        <v>50</v>
      </c>
      <c r="C5" s="2" t="s">
        <v>51</v>
      </c>
      <c r="D5" s="2" t="s">
        <v>20</v>
      </c>
      <c r="E5" s="2">
        <v>12</v>
      </c>
      <c r="F5" s="10">
        <v>1</v>
      </c>
      <c r="G5" s="6">
        <f t="shared" si="0"/>
        <v>12</v>
      </c>
    </row>
    <row r="6" spans="1:7" x14ac:dyDescent="0.35">
      <c r="A6" s="2"/>
      <c r="B6" s="2" t="s">
        <v>18</v>
      </c>
      <c r="C6" s="2" t="s">
        <v>19</v>
      </c>
      <c r="D6" s="2" t="s">
        <v>20</v>
      </c>
      <c r="E6" s="2">
        <v>23</v>
      </c>
      <c r="F6" s="10">
        <v>1</v>
      </c>
      <c r="G6" s="6">
        <f t="shared" si="0"/>
        <v>23</v>
      </c>
    </row>
    <row r="7" spans="1:7" x14ac:dyDescent="0.35">
      <c r="A7" s="2"/>
      <c r="B7" s="2" t="s">
        <v>40</v>
      </c>
      <c r="C7" s="2" t="s">
        <v>41</v>
      </c>
      <c r="D7" s="2" t="s">
        <v>2</v>
      </c>
      <c r="E7" s="2">
        <v>1</v>
      </c>
      <c r="F7" s="10">
        <v>1</v>
      </c>
      <c r="G7" s="6">
        <f t="shared" si="0"/>
        <v>1</v>
      </c>
    </row>
    <row r="8" spans="1:7" x14ac:dyDescent="0.35">
      <c r="A8" s="2"/>
      <c r="B8" s="2" t="s">
        <v>0</v>
      </c>
      <c r="C8" s="2" t="s">
        <v>1</v>
      </c>
      <c r="D8" s="2" t="s">
        <v>2</v>
      </c>
      <c r="E8" s="2">
        <v>3</v>
      </c>
      <c r="F8" s="10">
        <v>1</v>
      </c>
      <c r="G8" s="6">
        <f t="shared" si="0"/>
        <v>3</v>
      </c>
    </row>
    <row r="9" spans="1:7" x14ac:dyDescent="0.35">
      <c r="A9" s="2"/>
      <c r="B9" s="2" t="s">
        <v>91</v>
      </c>
      <c r="C9" s="2" t="s">
        <v>92</v>
      </c>
      <c r="D9" s="2" t="s">
        <v>2</v>
      </c>
      <c r="E9" s="2">
        <v>1</v>
      </c>
      <c r="F9" s="10">
        <v>1</v>
      </c>
      <c r="G9" s="6">
        <f t="shared" si="0"/>
        <v>1</v>
      </c>
    </row>
    <row r="10" spans="1:7" x14ac:dyDescent="0.35">
      <c r="A10" s="2"/>
      <c r="B10" s="2" t="s">
        <v>66</v>
      </c>
      <c r="C10" s="2" t="s">
        <v>67</v>
      </c>
      <c r="D10" s="2" t="s">
        <v>111</v>
      </c>
      <c r="E10" s="2">
        <v>2</v>
      </c>
      <c r="F10" s="10">
        <v>18</v>
      </c>
      <c r="G10" s="6">
        <f t="shared" si="0"/>
        <v>36</v>
      </c>
    </row>
    <row r="11" spans="1:7" x14ac:dyDescent="0.35">
      <c r="A11" s="2"/>
      <c r="B11" s="2" t="s">
        <v>42</v>
      </c>
      <c r="C11" s="2" t="s">
        <v>43</v>
      </c>
      <c r="D11" s="2" t="s">
        <v>120</v>
      </c>
      <c r="E11" s="2">
        <v>1</v>
      </c>
      <c r="F11" s="10">
        <v>20</v>
      </c>
      <c r="G11" s="6">
        <f t="shared" si="0"/>
        <v>20</v>
      </c>
    </row>
    <row r="12" spans="1:7" x14ac:dyDescent="0.35">
      <c r="A12" s="12" t="s">
        <v>94</v>
      </c>
      <c r="B12" s="13"/>
      <c r="C12" s="13"/>
      <c r="D12" s="14"/>
      <c r="E12" s="3"/>
      <c r="F12" s="10"/>
      <c r="G12" s="6"/>
    </row>
    <row r="13" spans="1:7" x14ac:dyDescent="0.35">
      <c r="A13" s="3"/>
      <c r="B13" s="3" t="s">
        <v>14</v>
      </c>
      <c r="C13" s="3" t="s">
        <v>15</v>
      </c>
      <c r="D13" s="3" t="s">
        <v>6</v>
      </c>
      <c r="E13" s="3">
        <v>1</v>
      </c>
      <c r="F13" s="10">
        <v>1</v>
      </c>
      <c r="G13" s="6">
        <f t="shared" ref="G13:G26" si="1">E13*F13</f>
        <v>1</v>
      </c>
    </row>
    <row r="14" spans="1:7" x14ac:dyDescent="0.35">
      <c r="A14" s="3"/>
      <c r="B14" s="3" t="s">
        <v>30</v>
      </c>
      <c r="C14" s="3" t="s">
        <v>31</v>
      </c>
      <c r="D14" s="3" t="s">
        <v>6</v>
      </c>
      <c r="E14" s="3">
        <v>16</v>
      </c>
      <c r="F14" s="10">
        <v>1</v>
      </c>
      <c r="G14" s="6">
        <f t="shared" si="1"/>
        <v>16</v>
      </c>
    </row>
    <row r="15" spans="1:7" x14ac:dyDescent="0.35">
      <c r="A15" s="3"/>
      <c r="B15" s="9" t="s">
        <v>125</v>
      </c>
      <c r="C15" s="3" t="s">
        <v>126</v>
      </c>
      <c r="D15" s="3" t="s">
        <v>6</v>
      </c>
      <c r="E15" s="3">
        <v>1</v>
      </c>
      <c r="F15" s="10">
        <v>1</v>
      </c>
      <c r="G15" s="8">
        <f t="shared" si="1"/>
        <v>1</v>
      </c>
    </row>
    <row r="16" spans="1:7" x14ac:dyDescent="0.35">
      <c r="A16" s="3"/>
      <c r="B16" s="3" t="s">
        <v>5</v>
      </c>
      <c r="C16" s="3" t="s">
        <v>127</v>
      </c>
      <c r="D16" s="3" t="s">
        <v>6</v>
      </c>
      <c r="E16" s="3">
        <v>10</v>
      </c>
      <c r="F16" s="10">
        <v>1</v>
      </c>
      <c r="G16" s="6">
        <f t="shared" si="1"/>
        <v>10</v>
      </c>
    </row>
    <row r="17" spans="1:7" x14ac:dyDescent="0.35">
      <c r="A17" s="3"/>
      <c r="B17" s="3" t="s">
        <v>24</v>
      </c>
      <c r="C17" s="3" t="s">
        <v>25</v>
      </c>
      <c r="D17" s="3" t="s">
        <v>6</v>
      </c>
      <c r="E17" s="3">
        <v>22</v>
      </c>
      <c r="F17" s="10">
        <v>1</v>
      </c>
      <c r="G17" s="6">
        <f t="shared" si="1"/>
        <v>22</v>
      </c>
    </row>
    <row r="18" spans="1:7" x14ac:dyDescent="0.35">
      <c r="A18" s="3"/>
      <c r="B18" s="3" t="s">
        <v>84</v>
      </c>
      <c r="C18" s="3" t="s">
        <v>85</v>
      </c>
      <c r="D18" s="3" t="s">
        <v>6</v>
      </c>
      <c r="E18" s="3">
        <v>2</v>
      </c>
      <c r="F18" s="10">
        <v>1</v>
      </c>
      <c r="G18" s="6">
        <f t="shared" si="1"/>
        <v>2</v>
      </c>
    </row>
    <row r="19" spans="1:7" x14ac:dyDescent="0.35">
      <c r="A19" s="3"/>
      <c r="B19" s="3" t="s">
        <v>59</v>
      </c>
      <c r="C19" s="3" t="s">
        <v>134</v>
      </c>
      <c r="D19" s="3" t="s">
        <v>6</v>
      </c>
      <c r="E19" s="3">
        <v>1</v>
      </c>
      <c r="F19" s="10">
        <v>1</v>
      </c>
      <c r="G19" s="6">
        <f t="shared" si="1"/>
        <v>1</v>
      </c>
    </row>
    <row r="20" spans="1:7" x14ac:dyDescent="0.35">
      <c r="A20" s="3"/>
      <c r="B20" s="3" t="s">
        <v>132</v>
      </c>
      <c r="C20" s="3" t="s">
        <v>133</v>
      </c>
      <c r="D20" s="3" t="s">
        <v>6</v>
      </c>
      <c r="E20" s="3">
        <v>2</v>
      </c>
      <c r="F20" s="10">
        <v>1</v>
      </c>
      <c r="G20" s="6">
        <f t="shared" si="1"/>
        <v>2</v>
      </c>
    </row>
    <row r="21" spans="1:7" x14ac:dyDescent="0.35">
      <c r="A21" s="3"/>
      <c r="B21" s="3" t="s">
        <v>128</v>
      </c>
      <c r="C21" s="3" t="s">
        <v>129</v>
      </c>
      <c r="D21" s="3" t="s">
        <v>6</v>
      </c>
      <c r="E21" s="3">
        <v>2</v>
      </c>
      <c r="F21" s="10">
        <v>10</v>
      </c>
      <c r="G21" s="6">
        <f t="shared" si="1"/>
        <v>20</v>
      </c>
    </row>
    <row r="22" spans="1:7" x14ac:dyDescent="0.35">
      <c r="A22" s="3"/>
      <c r="B22" s="3" t="s">
        <v>7</v>
      </c>
      <c r="C22" s="3" t="s">
        <v>130</v>
      </c>
      <c r="D22" s="3" t="s">
        <v>6</v>
      </c>
      <c r="E22" s="3">
        <v>3</v>
      </c>
      <c r="F22" s="10">
        <v>10</v>
      </c>
      <c r="G22" s="6">
        <f t="shared" si="1"/>
        <v>30</v>
      </c>
    </row>
    <row r="23" spans="1:7" x14ac:dyDescent="0.35">
      <c r="A23" s="3"/>
      <c r="B23" s="3" t="s">
        <v>114</v>
      </c>
      <c r="C23" s="3" t="s">
        <v>117</v>
      </c>
      <c r="D23" s="3" t="s">
        <v>6</v>
      </c>
      <c r="E23" s="3">
        <v>1</v>
      </c>
      <c r="F23" s="10">
        <v>10</v>
      </c>
      <c r="G23" s="6">
        <f t="shared" si="1"/>
        <v>10</v>
      </c>
    </row>
    <row r="24" spans="1:7" x14ac:dyDescent="0.35">
      <c r="A24" s="3"/>
      <c r="B24" s="3" t="s">
        <v>115</v>
      </c>
      <c r="C24" s="3" t="s">
        <v>116</v>
      </c>
      <c r="D24" s="3" t="s">
        <v>6</v>
      </c>
      <c r="E24" s="3">
        <v>1</v>
      </c>
      <c r="F24" s="10">
        <v>10</v>
      </c>
      <c r="G24" s="6">
        <f t="shared" si="1"/>
        <v>10</v>
      </c>
    </row>
    <row r="25" spans="1:7" x14ac:dyDescent="0.35">
      <c r="A25" s="3"/>
      <c r="B25" s="3" t="s">
        <v>3</v>
      </c>
      <c r="C25" s="3" t="s">
        <v>4</v>
      </c>
      <c r="D25" s="3" t="s">
        <v>144</v>
      </c>
      <c r="E25" s="3">
        <v>1</v>
      </c>
      <c r="F25" s="10">
        <v>10</v>
      </c>
      <c r="G25" s="6">
        <f t="shared" si="1"/>
        <v>10</v>
      </c>
    </row>
    <row r="26" spans="1:7" x14ac:dyDescent="0.35">
      <c r="A26" s="3"/>
      <c r="B26" s="3" t="s">
        <v>131</v>
      </c>
      <c r="C26" s="3" t="s">
        <v>68</v>
      </c>
      <c r="D26" s="3" t="s">
        <v>69</v>
      </c>
      <c r="E26" s="3">
        <v>1</v>
      </c>
      <c r="F26" s="10">
        <v>10</v>
      </c>
      <c r="G26" s="6">
        <f t="shared" si="1"/>
        <v>10</v>
      </c>
    </row>
    <row r="27" spans="1:7" x14ac:dyDescent="0.35">
      <c r="A27" s="19" t="s">
        <v>123</v>
      </c>
      <c r="B27" s="20"/>
      <c r="C27" s="20"/>
      <c r="D27" s="21"/>
      <c r="E27" s="4"/>
      <c r="F27" s="10"/>
      <c r="G27" s="6"/>
    </row>
    <row r="28" spans="1:7" x14ac:dyDescent="0.35">
      <c r="A28" s="4"/>
      <c r="B28" s="4" t="s">
        <v>121</v>
      </c>
      <c r="C28" s="4" t="s">
        <v>65</v>
      </c>
      <c r="D28" s="4" t="s">
        <v>39</v>
      </c>
      <c r="E28" s="4">
        <v>2</v>
      </c>
      <c r="F28" s="10">
        <v>2</v>
      </c>
      <c r="G28" s="6">
        <f t="shared" ref="G28:G29" si="2">E28*F28</f>
        <v>4</v>
      </c>
    </row>
    <row r="29" spans="1:7" x14ac:dyDescent="0.35">
      <c r="A29" s="4"/>
      <c r="B29" s="4" t="s">
        <v>122</v>
      </c>
      <c r="C29" s="4" t="s">
        <v>38</v>
      </c>
      <c r="D29" s="4" t="s">
        <v>39</v>
      </c>
      <c r="E29" s="4">
        <v>1</v>
      </c>
      <c r="F29" s="10">
        <v>2</v>
      </c>
      <c r="G29" s="6">
        <f t="shared" si="2"/>
        <v>2</v>
      </c>
    </row>
    <row r="30" spans="1:7" x14ac:dyDescent="0.35">
      <c r="A30" s="22" t="s">
        <v>95</v>
      </c>
      <c r="B30" s="23"/>
      <c r="C30" s="23"/>
      <c r="D30" s="24"/>
      <c r="E30" s="2"/>
      <c r="F30" s="10"/>
      <c r="G30" s="6"/>
    </row>
    <row r="31" spans="1:7" x14ac:dyDescent="0.35">
      <c r="A31" s="2"/>
      <c r="B31" s="2" t="s">
        <v>62</v>
      </c>
      <c r="C31" s="2" t="s">
        <v>63</v>
      </c>
      <c r="D31" s="2" t="s">
        <v>64</v>
      </c>
      <c r="E31" s="2">
        <v>1</v>
      </c>
      <c r="F31" s="10">
        <v>13</v>
      </c>
      <c r="G31" s="6">
        <f>E31*F31</f>
        <v>13</v>
      </c>
    </row>
    <row r="32" spans="1:7" x14ac:dyDescent="0.35">
      <c r="A32" s="12" t="s">
        <v>96</v>
      </c>
      <c r="B32" s="13"/>
      <c r="C32" s="13"/>
      <c r="D32" s="14"/>
      <c r="E32" s="3"/>
      <c r="F32" s="10"/>
      <c r="G32" s="6"/>
    </row>
    <row r="33" spans="1:7" x14ac:dyDescent="0.35">
      <c r="A33" s="3"/>
      <c r="B33" s="3" t="s">
        <v>88</v>
      </c>
      <c r="C33" s="3" t="s">
        <v>89</v>
      </c>
      <c r="D33" s="3" t="s">
        <v>90</v>
      </c>
      <c r="E33" s="3">
        <v>1</v>
      </c>
      <c r="F33" s="10">
        <v>50</v>
      </c>
      <c r="G33" s="6">
        <f t="shared" ref="G33:G34" si="3">E33*F33</f>
        <v>50</v>
      </c>
    </row>
    <row r="34" spans="1:7" x14ac:dyDescent="0.35">
      <c r="A34" s="3"/>
      <c r="B34" s="3" t="s">
        <v>21</v>
      </c>
      <c r="C34" s="3" t="s">
        <v>22</v>
      </c>
      <c r="D34" s="3" t="s">
        <v>23</v>
      </c>
      <c r="E34" s="3">
        <v>1</v>
      </c>
      <c r="F34" s="10">
        <v>10</v>
      </c>
      <c r="G34" s="6">
        <f t="shared" si="3"/>
        <v>10</v>
      </c>
    </row>
    <row r="35" spans="1:7" x14ac:dyDescent="0.35">
      <c r="A35" s="25" t="s">
        <v>97</v>
      </c>
      <c r="B35" s="26"/>
      <c r="C35" s="26"/>
      <c r="D35" s="27"/>
      <c r="E35" s="4"/>
      <c r="F35" s="10"/>
      <c r="G35" s="6"/>
    </row>
    <row r="36" spans="1:7" x14ac:dyDescent="0.35">
      <c r="A36" s="4"/>
      <c r="B36" s="4" t="s">
        <v>16</v>
      </c>
      <c r="C36" s="4" t="s">
        <v>17</v>
      </c>
      <c r="D36" s="4" t="s">
        <v>110</v>
      </c>
      <c r="E36" s="4">
        <v>3</v>
      </c>
      <c r="F36" s="10">
        <v>5</v>
      </c>
      <c r="G36" s="6">
        <f t="shared" ref="G36:G37" si="4">E36*F36</f>
        <v>15</v>
      </c>
    </row>
    <row r="37" spans="1:7" x14ac:dyDescent="0.35">
      <c r="A37" s="4"/>
      <c r="B37" s="4" t="s">
        <v>57</v>
      </c>
      <c r="C37" s="4" t="s">
        <v>58</v>
      </c>
      <c r="D37" s="4" t="s">
        <v>109</v>
      </c>
      <c r="E37" s="4">
        <v>5</v>
      </c>
      <c r="F37" s="10">
        <v>8</v>
      </c>
      <c r="G37" s="6">
        <f t="shared" si="4"/>
        <v>40</v>
      </c>
    </row>
    <row r="38" spans="1:7" x14ac:dyDescent="0.35">
      <c r="A38" s="22" t="s">
        <v>98</v>
      </c>
      <c r="B38" s="23"/>
      <c r="C38" s="23"/>
      <c r="D38" s="24"/>
      <c r="E38" s="2"/>
      <c r="F38" s="10"/>
      <c r="G38" s="6"/>
    </row>
    <row r="39" spans="1:7" x14ac:dyDescent="0.35">
      <c r="A39" s="2"/>
      <c r="B39" s="2" t="s">
        <v>26</v>
      </c>
      <c r="C39" s="2" t="s">
        <v>27</v>
      </c>
      <c r="D39" s="2" t="s">
        <v>105</v>
      </c>
      <c r="E39" s="2">
        <v>3</v>
      </c>
      <c r="F39" s="10">
        <v>2</v>
      </c>
      <c r="G39" s="6">
        <f>E39*F39</f>
        <v>6</v>
      </c>
    </row>
    <row r="40" spans="1:7" x14ac:dyDescent="0.35">
      <c r="A40" s="2"/>
      <c r="B40" s="2" t="s">
        <v>28</v>
      </c>
      <c r="C40" s="2" t="s">
        <v>29</v>
      </c>
      <c r="D40" s="2" t="s">
        <v>106</v>
      </c>
      <c r="E40" s="2">
        <v>4</v>
      </c>
      <c r="F40" s="10"/>
      <c r="G40" s="6"/>
    </row>
    <row r="41" spans="1:7" x14ac:dyDescent="0.35">
      <c r="A41" s="12" t="s">
        <v>99</v>
      </c>
      <c r="B41" s="13"/>
      <c r="C41" s="13"/>
      <c r="D41" s="14"/>
      <c r="E41" s="3"/>
      <c r="F41" s="10"/>
      <c r="G41" s="6"/>
    </row>
    <row r="42" spans="1:7" x14ac:dyDescent="0.35">
      <c r="A42" s="3"/>
      <c r="B42" s="3" t="s">
        <v>44</v>
      </c>
      <c r="C42" s="3" t="s">
        <v>45</v>
      </c>
      <c r="D42" s="3" t="s">
        <v>106</v>
      </c>
      <c r="E42" s="3">
        <v>1</v>
      </c>
      <c r="F42" s="10">
        <v>10</v>
      </c>
      <c r="G42" s="6">
        <f t="shared" ref="G42:G47" si="5">E42*F42</f>
        <v>10</v>
      </c>
    </row>
    <row r="43" spans="1:7" x14ac:dyDescent="0.35">
      <c r="A43" s="3"/>
      <c r="B43" s="3" t="s">
        <v>46</v>
      </c>
      <c r="C43" s="3" t="s">
        <v>47</v>
      </c>
      <c r="D43" s="3" t="s">
        <v>46</v>
      </c>
      <c r="E43" s="3">
        <v>1</v>
      </c>
      <c r="F43" s="10">
        <v>10</v>
      </c>
      <c r="G43" s="6">
        <f t="shared" si="5"/>
        <v>10</v>
      </c>
    </row>
    <row r="44" spans="1:7" x14ac:dyDescent="0.35">
      <c r="A44" s="3"/>
      <c r="B44" s="3" t="s">
        <v>86</v>
      </c>
      <c r="C44" s="3" t="s">
        <v>87</v>
      </c>
      <c r="D44" s="3" t="s">
        <v>107</v>
      </c>
      <c r="E44" s="3">
        <v>1</v>
      </c>
      <c r="F44" s="10">
        <v>100</v>
      </c>
      <c r="G44" s="6">
        <f t="shared" si="5"/>
        <v>100</v>
      </c>
    </row>
    <row r="45" spans="1:7" x14ac:dyDescent="0.35">
      <c r="A45" s="3"/>
      <c r="B45" s="3" t="s">
        <v>52</v>
      </c>
      <c r="C45" s="3" t="s">
        <v>53</v>
      </c>
      <c r="D45" s="3" t="s">
        <v>108</v>
      </c>
      <c r="E45" s="3">
        <v>1</v>
      </c>
      <c r="F45" s="10">
        <v>60</v>
      </c>
      <c r="G45" s="6">
        <f t="shared" si="5"/>
        <v>60</v>
      </c>
    </row>
    <row r="46" spans="1:7" x14ac:dyDescent="0.35">
      <c r="A46" s="3"/>
      <c r="B46" s="3" t="s">
        <v>48</v>
      </c>
      <c r="C46" s="3" t="s">
        <v>49</v>
      </c>
      <c r="D46" s="3" t="s">
        <v>108</v>
      </c>
      <c r="E46" s="3">
        <v>1</v>
      </c>
      <c r="F46" s="10">
        <v>100</v>
      </c>
      <c r="G46" s="6">
        <f t="shared" si="5"/>
        <v>100</v>
      </c>
    </row>
    <row r="47" spans="1:7" x14ac:dyDescent="0.35">
      <c r="A47" s="3"/>
      <c r="B47" s="3" t="s">
        <v>119</v>
      </c>
      <c r="C47" s="3" t="s">
        <v>100</v>
      </c>
      <c r="D47" s="3" t="s">
        <v>108</v>
      </c>
      <c r="E47" s="3">
        <v>1</v>
      </c>
      <c r="F47" s="10">
        <v>20</v>
      </c>
      <c r="G47" s="6">
        <f t="shared" si="5"/>
        <v>20</v>
      </c>
    </row>
    <row r="48" spans="1:7" x14ac:dyDescent="0.35">
      <c r="A48" s="19" t="s">
        <v>101</v>
      </c>
      <c r="B48" s="20"/>
      <c r="C48" s="20"/>
      <c r="D48" s="21"/>
      <c r="E48" s="4"/>
      <c r="F48" s="10"/>
      <c r="G48" s="6"/>
    </row>
    <row r="49" spans="1:7" x14ac:dyDescent="0.35">
      <c r="A49" s="4"/>
      <c r="B49" s="4" t="s">
        <v>70</v>
      </c>
      <c r="C49" s="4" t="s">
        <v>71</v>
      </c>
      <c r="D49" s="4" t="s">
        <v>72</v>
      </c>
      <c r="E49" s="4">
        <v>1</v>
      </c>
      <c r="F49" s="10">
        <v>15</v>
      </c>
      <c r="G49" s="6">
        <f t="shared" ref="G49:G54" si="6">E49*F49</f>
        <v>15</v>
      </c>
    </row>
    <row r="50" spans="1:7" x14ac:dyDescent="0.35">
      <c r="A50" s="4"/>
      <c r="B50" s="4" t="s">
        <v>32</v>
      </c>
      <c r="C50" s="4" t="s">
        <v>33</v>
      </c>
      <c r="D50" s="4" t="s">
        <v>34</v>
      </c>
      <c r="E50" s="4">
        <v>1</v>
      </c>
      <c r="F50" s="10">
        <v>6</v>
      </c>
      <c r="G50" s="6">
        <f t="shared" si="6"/>
        <v>6</v>
      </c>
    </row>
    <row r="51" spans="1:7" x14ac:dyDescent="0.35">
      <c r="A51" s="4"/>
      <c r="B51" s="4" t="s">
        <v>35</v>
      </c>
      <c r="C51" s="4" t="s">
        <v>36</v>
      </c>
      <c r="D51" s="4" t="s">
        <v>37</v>
      </c>
      <c r="E51" s="4">
        <v>1</v>
      </c>
      <c r="F51" s="10">
        <v>5</v>
      </c>
      <c r="G51" s="6">
        <f t="shared" si="6"/>
        <v>5</v>
      </c>
    </row>
    <row r="52" spans="1:7" x14ac:dyDescent="0.35">
      <c r="A52" s="4"/>
      <c r="B52" s="4" t="s">
        <v>73</v>
      </c>
      <c r="C52" s="4" t="s">
        <v>74</v>
      </c>
      <c r="D52" s="4" t="s">
        <v>75</v>
      </c>
      <c r="E52" s="4">
        <v>1</v>
      </c>
      <c r="F52" s="10">
        <v>8</v>
      </c>
      <c r="G52" s="6">
        <f t="shared" si="6"/>
        <v>8</v>
      </c>
    </row>
    <row r="53" spans="1:7" x14ac:dyDescent="0.35">
      <c r="A53" s="4"/>
      <c r="B53" s="4" t="s">
        <v>8</v>
      </c>
      <c r="C53" s="4" t="s">
        <v>9</v>
      </c>
      <c r="D53" s="4" t="s">
        <v>10</v>
      </c>
      <c r="E53" s="4">
        <v>2</v>
      </c>
      <c r="F53" s="10">
        <v>62</v>
      </c>
      <c r="G53" s="6">
        <f t="shared" si="6"/>
        <v>124</v>
      </c>
    </row>
    <row r="54" spans="1:7" x14ac:dyDescent="0.35">
      <c r="A54" s="4"/>
      <c r="B54" s="4" t="s">
        <v>11</v>
      </c>
      <c r="C54" s="4" t="s">
        <v>12</v>
      </c>
      <c r="D54" s="4" t="s">
        <v>13</v>
      </c>
      <c r="E54" s="4">
        <v>1</v>
      </c>
      <c r="F54" s="10">
        <v>62</v>
      </c>
      <c r="G54" s="6">
        <f t="shared" si="6"/>
        <v>62</v>
      </c>
    </row>
    <row r="55" spans="1:7" x14ac:dyDescent="0.35">
      <c r="A55" s="22" t="s">
        <v>102</v>
      </c>
      <c r="B55" s="23"/>
      <c r="C55" s="23"/>
      <c r="D55" s="24"/>
      <c r="E55" s="2"/>
      <c r="F55" s="10"/>
      <c r="G55" s="6"/>
    </row>
    <row r="56" spans="1:7" x14ac:dyDescent="0.35">
      <c r="A56" s="2"/>
      <c r="B56" s="2" t="s">
        <v>54</v>
      </c>
      <c r="C56" s="2" t="s">
        <v>55</v>
      </c>
      <c r="D56" s="2" t="s">
        <v>56</v>
      </c>
      <c r="E56" s="2">
        <v>1</v>
      </c>
      <c r="F56" s="10">
        <v>5</v>
      </c>
      <c r="G56" s="6">
        <f t="shared" ref="G56:G58" si="7">E56*F56</f>
        <v>5</v>
      </c>
    </row>
    <row r="57" spans="1:7" x14ac:dyDescent="0.35">
      <c r="A57" s="2"/>
      <c r="B57" s="2" t="s">
        <v>81</v>
      </c>
      <c r="C57" s="2" t="s">
        <v>82</v>
      </c>
      <c r="D57" s="2" t="s">
        <v>83</v>
      </c>
      <c r="E57" s="2">
        <v>4</v>
      </c>
      <c r="F57" s="10">
        <v>5</v>
      </c>
      <c r="G57" s="6">
        <f t="shared" si="7"/>
        <v>20</v>
      </c>
    </row>
    <row r="58" spans="1:7" x14ac:dyDescent="0.35">
      <c r="A58" s="2"/>
      <c r="B58" s="2" t="s">
        <v>124</v>
      </c>
      <c r="C58" s="2" t="s">
        <v>79</v>
      </c>
      <c r="D58" s="2" t="s">
        <v>80</v>
      </c>
      <c r="E58" s="2">
        <v>2</v>
      </c>
      <c r="F58" s="10">
        <v>60</v>
      </c>
      <c r="G58" s="6">
        <f t="shared" si="7"/>
        <v>120</v>
      </c>
    </row>
    <row r="59" spans="1:7" x14ac:dyDescent="0.35">
      <c r="A59" s="12" t="s">
        <v>103</v>
      </c>
      <c r="B59" s="13"/>
      <c r="C59" s="13"/>
      <c r="D59" s="14"/>
      <c r="E59" s="3"/>
      <c r="F59" s="10"/>
      <c r="G59" s="6"/>
    </row>
    <row r="60" spans="1:7" x14ac:dyDescent="0.35">
      <c r="A60" s="3"/>
      <c r="B60" s="3" t="s">
        <v>76</v>
      </c>
      <c r="C60" s="3" t="s">
        <v>76</v>
      </c>
      <c r="D60" s="3" t="s">
        <v>104</v>
      </c>
      <c r="E60" s="3">
        <v>1</v>
      </c>
      <c r="F60" s="10">
        <v>200</v>
      </c>
      <c r="G60" s="6">
        <f>E60*F60</f>
        <v>200</v>
      </c>
    </row>
    <row r="62" spans="1:7" x14ac:dyDescent="0.35">
      <c r="G62" s="5">
        <f>SUM(G3:G60)</f>
        <v>1251</v>
      </c>
    </row>
  </sheetData>
  <mergeCells count="12">
    <mergeCell ref="A35:D35"/>
    <mergeCell ref="A38:D38"/>
    <mergeCell ref="A41:D41"/>
    <mergeCell ref="A48:D48"/>
    <mergeCell ref="A55:D55"/>
    <mergeCell ref="A59:D59"/>
    <mergeCell ref="A1:D1"/>
    <mergeCell ref="A2:D2"/>
    <mergeCell ref="A12:D12"/>
    <mergeCell ref="A27:D27"/>
    <mergeCell ref="A30:D30"/>
    <mergeCell ref="A32:D3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zoomScaleNormal="100" workbookViewId="0">
      <selection activeCell="G32" sqref="G32"/>
    </sheetView>
  </sheetViews>
  <sheetFormatPr defaultRowHeight="14.5" x14ac:dyDescent="0.35"/>
  <cols>
    <col min="2" max="2" width="18.1796875" customWidth="1"/>
    <col min="3" max="3" width="77.08984375" customWidth="1"/>
    <col min="4" max="4" width="34.6328125" customWidth="1"/>
    <col min="5" max="5" width="9.6328125" customWidth="1"/>
    <col min="6" max="7" width="13.6328125" customWidth="1"/>
  </cols>
  <sheetData>
    <row r="1" spans="1:7" x14ac:dyDescent="0.35">
      <c r="A1" s="16"/>
      <c r="B1" s="17"/>
      <c r="C1" s="17"/>
      <c r="D1" s="18"/>
      <c r="E1" s="1" t="s">
        <v>118</v>
      </c>
      <c r="F1" s="10" t="s">
        <v>112</v>
      </c>
      <c r="G1" s="6" t="s">
        <v>113</v>
      </c>
    </row>
    <row r="2" spans="1:7" x14ac:dyDescent="0.35">
      <c r="A2" s="15" t="s">
        <v>93</v>
      </c>
      <c r="B2" s="15"/>
      <c r="C2" s="15"/>
      <c r="D2" s="15"/>
      <c r="E2" s="2"/>
      <c r="F2" s="11"/>
      <c r="G2" s="7"/>
    </row>
    <row r="3" spans="1:7" x14ac:dyDescent="0.35">
      <c r="A3" s="2"/>
      <c r="B3" s="2" t="s">
        <v>50</v>
      </c>
      <c r="C3" s="2" t="s">
        <v>41</v>
      </c>
      <c r="D3" s="2" t="s">
        <v>135</v>
      </c>
      <c r="E3" s="2">
        <v>1</v>
      </c>
      <c r="F3" s="10">
        <v>10</v>
      </c>
      <c r="G3" s="6">
        <f>E3*F3</f>
        <v>10</v>
      </c>
    </row>
    <row r="4" spans="1:7" x14ac:dyDescent="0.35">
      <c r="A4" s="12" t="s">
        <v>94</v>
      </c>
      <c r="B4" s="13"/>
      <c r="C4" s="13"/>
      <c r="D4" s="14"/>
      <c r="E4" s="3"/>
      <c r="F4" s="10"/>
      <c r="G4" s="6"/>
    </row>
    <row r="5" spans="1:7" x14ac:dyDescent="0.35">
      <c r="A5" s="3"/>
      <c r="B5" s="3" t="s">
        <v>136</v>
      </c>
      <c r="C5" s="3" t="s">
        <v>4</v>
      </c>
      <c r="D5" s="3" t="s">
        <v>6</v>
      </c>
      <c r="E5" s="3">
        <v>1</v>
      </c>
      <c r="F5" s="10">
        <v>1</v>
      </c>
      <c r="G5" s="6">
        <f t="shared" ref="G5:G7" si="0">E5*F5</f>
        <v>1</v>
      </c>
    </row>
    <row r="6" spans="1:7" x14ac:dyDescent="0.35">
      <c r="A6" s="3"/>
      <c r="B6" s="3" t="s">
        <v>137</v>
      </c>
      <c r="C6" s="3" t="s">
        <v>138</v>
      </c>
      <c r="D6" s="3" t="s">
        <v>6</v>
      </c>
      <c r="E6" s="3">
        <v>2</v>
      </c>
      <c r="F6" s="10">
        <v>1</v>
      </c>
      <c r="G6" s="6">
        <f t="shared" si="0"/>
        <v>2</v>
      </c>
    </row>
    <row r="7" spans="1:7" x14ac:dyDescent="0.35">
      <c r="A7" s="3"/>
      <c r="B7" s="9" t="s">
        <v>5</v>
      </c>
      <c r="C7" s="3" t="s">
        <v>139</v>
      </c>
      <c r="D7" s="3" t="s">
        <v>6</v>
      </c>
      <c r="E7" s="3">
        <v>4</v>
      </c>
      <c r="F7" s="10">
        <v>1</v>
      </c>
      <c r="G7" s="8">
        <f t="shared" si="0"/>
        <v>4</v>
      </c>
    </row>
    <row r="8" spans="1:7" x14ac:dyDescent="0.35">
      <c r="A8" s="3"/>
      <c r="B8" s="3" t="s">
        <v>24</v>
      </c>
      <c r="C8" s="3" t="s">
        <v>140</v>
      </c>
      <c r="D8" s="3" t="s">
        <v>6</v>
      </c>
      <c r="E8" s="3">
        <v>3</v>
      </c>
      <c r="F8" s="10">
        <v>1</v>
      </c>
      <c r="G8" s="6">
        <f t="shared" ref="G8:G10" si="1">E8*F8</f>
        <v>3</v>
      </c>
    </row>
    <row r="9" spans="1:7" x14ac:dyDescent="0.35">
      <c r="A9" s="3"/>
      <c r="B9" s="3" t="s">
        <v>141</v>
      </c>
      <c r="C9" s="3" t="s">
        <v>142</v>
      </c>
      <c r="D9" s="3" t="s">
        <v>143</v>
      </c>
      <c r="E9" s="3">
        <v>1</v>
      </c>
      <c r="F9" s="10">
        <v>5</v>
      </c>
      <c r="G9" s="6">
        <f t="shared" si="1"/>
        <v>5</v>
      </c>
    </row>
    <row r="10" spans="1:7" x14ac:dyDescent="0.35">
      <c r="A10" s="3"/>
      <c r="B10" s="3" t="s">
        <v>145</v>
      </c>
      <c r="C10" s="3" t="s">
        <v>146</v>
      </c>
      <c r="D10" s="3" t="s">
        <v>143</v>
      </c>
      <c r="E10" s="3">
        <v>2</v>
      </c>
      <c r="F10" s="10">
        <v>5</v>
      </c>
      <c r="G10" s="6">
        <f t="shared" si="1"/>
        <v>10</v>
      </c>
    </row>
    <row r="11" spans="1:7" x14ac:dyDescent="0.35">
      <c r="A11" s="3"/>
      <c r="B11" s="3" t="s">
        <v>3</v>
      </c>
      <c r="C11" s="3" t="s">
        <v>4</v>
      </c>
      <c r="D11" s="3" t="s">
        <v>144</v>
      </c>
      <c r="E11" s="3">
        <v>1</v>
      </c>
      <c r="F11" s="10">
        <v>10</v>
      </c>
      <c r="G11" s="6">
        <f>E11*F11</f>
        <v>10</v>
      </c>
    </row>
    <row r="12" spans="1:7" x14ac:dyDescent="0.35">
      <c r="A12" s="22" t="s">
        <v>95</v>
      </c>
      <c r="B12" s="23"/>
      <c r="C12" s="23"/>
      <c r="D12" s="24"/>
      <c r="E12" s="2"/>
      <c r="F12" s="10"/>
      <c r="G12" s="6"/>
    </row>
    <row r="13" spans="1:7" x14ac:dyDescent="0.35">
      <c r="A13" s="2"/>
      <c r="B13" s="2" t="s">
        <v>148</v>
      </c>
      <c r="C13" s="2" t="s">
        <v>63</v>
      </c>
      <c r="D13" s="2" t="s">
        <v>147</v>
      </c>
      <c r="E13" s="2">
        <v>1</v>
      </c>
      <c r="F13" s="10">
        <v>8</v>
      </c>
      <c r="G13" s="6">
        <f>E13*F13</f>
        <v>8</v>
      </c>
    </row>
    <row r="14" spans="1:7" x14ac:dyDescent="0.35">
      <c r="A14" s="25" t="s">
        <v>97</v>
      </c>
      <c r="B14" s="26"/>
      <c r="C14" s="26"/>
      <c r="D14" s="27"/>
      <c r="E14" s="4"/>
      <c r="F14" s="10"/>
      <c r="G14" s="6"/>
    </row>
    <row r="15" spans="1:7" x14ac:dyDescent="0.35">
      <c r="A15" s="4"/>
      <c r="B15" s="4" t="s">
        <v>149</v>
      </c>
      <c r="C15" s="4" t="s">
        <v>150</v>
      </c>
      <c r="D15" s="4" t="s">
        <v>109</v>
      </c>
      <c r="E15" s="4">
        <v>3</v>
      </c>
      <c r="F15" s="10">
        <v>8</v>
      </c>
      <c r="G15" s="6">
        <f>E15*F15</f>
        <v>24</v>
      </c>
    </row>
    <row r="16" spans="1:7" x14ac:dyDescent="0.35">
      <c r="A16" s="22" t="s">
        <v>98</v>
      </c>
      <c r="B16" s="23"/>
      <c r="C16" s="23"/>
      <c r="D16" s="24"/>
      <c r="E16" s="2"/>
      <c r="F16" s="10"/>
      <c r="G16" s="6"/>
    </row>
    <row r="17" spans="1:7" x14ac:dyDescent="0.35">
      <c r="A17" s="2"/>
      <c r="B17" s="2" t="s">
        <v>151</v>
      </c>
      <c r="C17" s="2" t="s">
        <v>152</v>
      </c>
      <c r="D17" s="2" t="s">
        <v>105</v>
      </c>
      <c r="E17" s="2">
        <v>2</v>
      </c>
      <c r="F17" s="10">
        <v>2</v>
      </c>
      <c r="G17" s="6">
        <f>E17*F17</f>
        <v>4</v>
      </c>
    </row>
    <row r="18" spans="1:7" x14ac:dyDescent="0.35">
      <c r="A18" s="2"/>
      <c r="B18" s="2" t="s">
        <v>153</v>
      </c>
      <c r="C18" s="2" t="s">
        <v>154</v>
      </c>
      <c r="D18" s="2" t="s">
        <v>155</v>
      </c>
      <c r="E18" s="2">
        <v>1</v>
      </c>
      <c r="F18" s="10"/>
      <c r="G18" s="6"/>
    </row>
    <row r="19" spans="1:7" x14ac:dyDescent="0.35">
      <c r="A19" s="12" t="s">
        <v>99</v>
      </c>
      <c r="B19" s="13"/>
      <c r="C19" s="13"/>
      <c r="D19" s="14"/>
      <c r="E19" s="3"/>
      <c r="F19" s="10"/>
      <c r="G19" s="6"/>
    </row>
    <row r="20" spans="1:7" x14ac:dyDescent="0.35">
      <c r="A20" s="3"/>
      <c r="B20" s="3" t="s">
        <v>156</v>
      </c>
      <c r="C20" s="3" t="s">
        <v>45</v>
      </c>
      <c r="D20" s="3" t="s">
        <v>157</v>
      </c>
      <c r="E20" s="3">
        <v>1</v>
      </c>
      <c r="F20" s="10">
        <v>20</v>
      </c>
      <c r="G20" s="6">
        <f>E20*F20</f>
        <v>20</v>
      </c>
    </row>
    <row r="21" spans="1:7" x14ac:dyDescent="0.35">
      <c r="A21" s="3"/>
      <c r="B21" s="3" t="s">
        <v>158</v>
      </c>
      <c r="C21" s="3" t="s">
        <v>159</v>
      </c>
      <c r="D21" s="3" t="s">
        <v>160</v>
      </c>
      <c r="E21" s="3">
        <v>2</v>
      </c>
      <c r="F21" s="10">
        <v>10</v>
      </c>
      <c r="G21" s="6">
        <f>E21*F21</f>
        <v>20</v>
      </c>
    </row>
    <row r="22" spans="1:7" x14ac:dyDescent="0.35">
      <c r="A22" s="19" t="s">
        <v>101</v>
      </c>
      <c r="B22" s="20"/>
      <c r="C22" s="20"/>
      <c r="D22" s="21"/>
      <c r="E22" s="4"/>
      <c r="F22" s="10"/>
      <c r="G22" s="6"/>
    </row>
    <row r="23" spans="1:7" x14ac:dyDescent="0.35">
      <c r="A23" s="4"/>
      <c r="B23" s="4"/>
      <c r="C23" s="4"/>
      <c r="D23" s="4"/>
      <c r="E23" s="4"/>
      <c r="F23" s="10"/>
      <c r="G23" s="6"/>
    </row>
    <row r="24" spans="1:7" x14ac:dyDescent="0.35">
      <c r="A24" s="4"/>
      <c r="B24" s="4" t="s">
        <v>168</v>
      </c>
      <c r="C24" s="4" t="s">
        <v>74</v>
      </c>
      <c r="D24" s="4" t="s">
        <v>37</v>
      </c>
      <c r="E24" s="4">
        <v>1</v>
      </c>
      <c r="F24" s="10">
        <v>5</v>
      </c>
      <c r="G24" s="6">
        <f t="shared" ref="G24" si="2">E24*F24</f>
        <v>5</v>
      </c>
    </row>
    <row r="25" spans="1:7" x14ac:dyDescent="0.35">
      <c r="A25" s="4"/>
      <c r="B25" s="4" t="s">
        <v>35</v>
      </c>
      <c r="C25" s="4" t="s">
        <v>36</v>
      </c>
      <c r="D25" s="4" t="s">
        <v>37</v>
      </c>
      <c r="E25" s="4">
        <v>1</v>
      </c>
      <c r="F25" s="10">
        <v>5</v>
      </c>
      <c r="G25" s="6">
        <f t="shared" ref="G25:G28" si="3">E25*F25</f>
        <v>5</v>
      </c>
    </row>
    <row r="26" spans="1:7" x14ac:dyDescent="0.35">
      <c r="A26" s="4"/>
      <c r="B26" s="4" t="s">
        <v>73</v>
      </c>
      <c r="C26" s="4" t="s">
        <v>164</v>
      </c>
      <c r="D26" s="4" t="s">
        <v>75</v>
      </c>
      <c r="E26" s="4">
        <v>3</v>
      </c>
      <c r="F26" s="10">
        <v>8</v>
      </c>
      <c r="G26" s="6">
        <f t="shared" si="3"/>
        <v>24</v>
      </c>
    </row>
    <row r="27" spans="1:7" x14ac:dyDescent="0.35">
      <c r="A27" s="4"/>
      <c r="B27" s="4" t="s">
        <v>11</v>
      </c>
      <c r="C27" s="4" t="s">
        <v>166</v>
      </c>
      <c r="D27" s="4" t="s">
        <v>10</v>
      </c>
      <c r="E27" s="4">
        <v>2</v>
      </c>
      <c r="F27" s="10">
        <v>62</v>
      </c>
      <c r="G27" s="6">
        <f t="shared" si="3"/>
        <v>124</v>
      </c>
    </row>
    <row r="28" spans="1:7" x14ac:dyDescent="0.35">
      <c r="A28" s="4"/>
      <c r="B28" s="4" t="s">
        <v>165</v>
      </c>
      <c r="C28" s="4" t="s">
        <v>167</v>
      </c>
      <c r="D28" s="4" t="s">
        <v>13</v>
      </c>
      <c r="E28" s="4">
        <v>1</v>
      </c>
      <c r="F28" s="10">
        <v>62</v>
      </c>
      <c r="G28" s="6">
        <f t="shared" si="3"/>
        <v>62</v>
      </c>
    </row>
    <row r="29" spans="1:7" x14ac:dyDescent="0.35">
      <c r="A29" s="22" t="s">
        <v>161</v>
      </c>
      <c r="B29" s="23"/>
      <c r="C29" s="23"/>
      <c r="D29" s="24"/>
      <c r="E29" s="2"/>
      <c r="F29" s="10"/>
      <c r="G29" s="6"/>
    </row>
    <row r="30" spans="1:7" x14ac:dyDescent="0.35">
      <c r="A30" s="2"/>
      <c r="B30" s="2" t="s">
        <v>162</v>
      </c>
      <c r="C30" s="2" t="s">
        <v>163</v>
      </c>
      <c r="D30" s="2"/>
      <c r="E30" s="2">
        <v>3</v>
      </c>
      <c r="F30" s="10">
        <v>25</v>
      </c>
      <c r="G30" s="6">
        <f>E30*F30</f>
        <v>75</v>
      </c>
    </row>
    <row r="32" spans="1:7" x14ac:dyDescent="0.35">
      <c r="A32" s="28"/>
      <c r="B32" s="28"/>
      <c r="C32" s="28"/>
      <c r="D32" s="28"/>
      <c r="E32" s="28"/>
      <c r="F32" s="29"/>
      <c r="G32" s="5">
        <f>SUM(G3:G30)</f>
        <v>416</v>
      </c>
    </row>
    <row r="33" spans="1:7" x14ac:dyDescent="0.35">
      <c r="A33" s="28"/>
      <c r="B33" s="28"/>
      <c r="C33" s="28"/>
      <c r="D33" s="28"/>
      <c r="E33" s="28"/>
      <c r="F33" s="29"/>
    </row>
    <row r="34" spans="1:7" x14ac:dyDescent="0.35">
      <c r="A34" s="28"/>
      <c r="B34" s="28"/>
      <c r="C34" s="28"/>
      <c r="D34" s="28"/>
      <c r="E34" s="28"/>
      <c r="F34" s="28"/>
      <c r="G34" s="28"/>
    </row>
    <row r="35" spans="1:7" x14ac:dyDescent="0.35">
      <c r="A35" s="28"/>
      <c r="B35" s="28"/>
      <c r="C35" s="28"/>
      <c r="D35" s="28"/>
      <c r="E35" s="28"/>
      <c r="F35" s="28"/>
      <c r="G35" s="28"/>
    </row>
    <row r="36" spans="1:7" x14ac:dyDescent="0.35">
      <c r="A36" s="28"/>
      <c r="B36" s="28"/>
      <c r="C36" s="28"/>
      <c r="D36" s="28"/>
      <c r="E36" s="28"/>
      <c r="F36" s="28"/>
      <c r="G36" s="28"/>
    </row>
    <row r="37" spans="1:7" x14ac:dyDescent="0.35">
      <c r="A37" s="28"/>
      <c r="B37" s="28"/>
      <c r="C37" s="28"/>
      <c r="D37" s="28"/>
      <c r="E37" s="28"/>
      <c r="F37" s="28"/>
      <c r="G37" s="28"/>
    </row>
    <row r="38" spans="1:7" x14ac:dyDescent="0.35">
      <c r="A38" s="28"/>
      <c r="B38" s="28"/>
      <c r="C38" s="28"/>
      <c r="D38" s="28"/>
      <c r="E38" s="28"/>
      <c r="F38" s="28"/>
      <c r="G38" s="28"/>
    </row>
    <row r="39" spans="1:7" x14ac:dyDescent="0.35">
      <c r="A39" s="28"/>
      <c r="B39" s="28"/>
      <c r="C39" s="28"/>
      <c r="D39" s="28"/>
      <c r="E39" s="28"/>
      <c r="F39" s="28"/>
      <c r="G39" s="28"/>
    </row>
    <row r="40" spans="1:7" x14ac:dyDescent="0.35">
      <c r="A40" s="28"/>
      <c r="B40" s="28"/>
      <c r="C40" s="28"/>
      <c r="D40" s="28"/>
      <c r="E40" s="28"/>
      <c r="F40" s="28"/>
      <c r="G40" s="28"/>
    </row>
    <row r="41" spans="1:7" x14ac:dyDescent="0.35">
      <c r="A41" s="28"/>
      <c r="B41" s="28"/>
      <c r="C41" s="28"/>
      <c r="D41" s="28"/>
      <c r="E41" s="28"/>
      <c r="F41" s="28"/>
      <c r="G41" s="28"/>
    </row>
    <row r="42" spans="1:7" x14ac:dyDescent="0.35">
      <c r="A42" s="28"/>
      <c r="B42" s="28"/>
      <c r="C42" s="28"/>
      <c r="D42" s="28"/>
      <c r="E42" s="28"/>
      <c r="F42" s="28"/>
      <c r="G42" s="28"/>
    </row>
    <row r="43" spans="1:7" x14ac:dyDescent="0.35">
      <c r="A43" s="28"/>
      <c r="B43" s="28"/>
      <c r="C43" s="28"/>
      <c r="D43" s="28"/>
      <c r="E43" s="28"/>
      <c r="F43" s="29"/>
      <c r="G43" s="30"/>
    </row>
    <row r="44" spans="1:7" x14ac:dyDescent="0.35">
      <c r="A44" s="28"/>
      <c r="B44" s="28"/>
      <c r="C44" s="28"/>
      <c r="D44" s="28"/>
      <c r="E44" s="28"/>
      <c r="F44" s="29"/>
      <c r="G44" s="30"/>
    </row>
    <row r="45" spans="1:7" x14ac:dyDescent="0.35">
      <c r="A45" s="28"/>
      <c r="B45" s="28"/>
      <c r="C45" s="28"/>
      <c r="D45" s="28"/>
      <c r="E45" s="28"/>
      <c r="F45" s="29"/>
      <c r="G45" s="30"/>
    </row>
    <row r="46" spans="1:7" x14ac:dyDescent="0.35">
      <c r="A46" s="28"/>
      <c r="B46" s="28"/>
      <c r="C46" s="28"/>
      <c r="D46" s="28"/>
      <c r="E46" s="28"/>
      <c r="F46" s="29"/>
      <c r="G46" s="30"/>
    </row>
    <row r="47" spans="1:7" x14ac:dyDescent="0.35">
      <c r="A47" s="28"/>
      <c r="B47" s="28"/>
      <c r="C47" s="28"/>
      <c r="D47" s="28"/>
      <c r="E47" s="28"/>
      <c r="F47" s="28"/>
      <c r="G47" s="28"/>
    </row>
    <row r="48" spans="1:7" x14ac:dyDescent="0.35">
      <c r="A48" s="28"/>
      <c r="B48" s="28"/>
      <c r="C48" s="28"/>
      <c r="D48" s="28"/>
      <c r="E48" s="28"/>
      <c r="F48" s="28"/>
      <c r="G48" s="28"/>
    </row>
    <row r="49" spans="1:7" x14ac:dyDescent="0.35">
      <c r="A49" s="28"/>
      <c r="B49" s="28"/>
      <c r="C49" s="28"/>
      <c r="D49" s="28"/>
      <c r="E49" s="28"/>
      <c r="F49" s="28"/>
      <c r="G49" s="28"/>
    </row>
    <row r="50" spans="1:7" x14ac:dyDescent="0.35">
      <c r="A50" s="28"/>
      <c r="B50" s="28"/>
      <c r="C50" s="28"/>
      <c r="D50" s="28"/>
      <c r="E50" s="28"/>
      <c r="F50" s="28"/>
      <c r="G50" s="28"/>
    </row>
    <row r="51" spans="1:7" x14ac:dyDescent="0.35">
      <c r="A51" s="28"/>
      <c r="B51" s="28"/>
      <c r="C51" s="28"/>
      <c r="D51" s="28"/>
      <c r="E51" s="28"/>
      <c r="F51" s="28"/>
      <c r="G51" s="28"/>
    </row>
    <row r="52" spans="1:7" x14ac:dyDescent="0.35">
      <c r="A52" s="28"/>
      <c r="B52" s="28"/>
      <c r="C52" s="28"/>
      <c r="D52" s="28"/>
      <c r="E52" s="28"/>
      <c r="F52" s="28"/>
      <c r="G52" s="28"/>
    </row>
    <row r="53" spans="1:7" x14ac:dyDescent="0.35">
      <c r="A53" s="28"/>
      <c r="B53" s="28"/>
      <c r="C53" s="28"/>
      <c r="D53" s="28"/>
      <c r="E53" s="28"/>
      <c r="F53" s="28"/>
      <c r="G53" s="28"/>
    </row>
    <row r="54" spans="1:7" x14ac:dyDescent="0.35">
      <c r="A54" s="28"/>
      <c r="B54" s="28"/>
      <c r="C54" s="28"/>
      <c r="D54" s="28"/>
      <c r="E54" s="28"/>
      <c r="F54" s="28"/>
      <c r="G54" s="28"/>
    </row>
    <row r="55" spans="1:7" x14ac:dyDescent="0.35">
      <c r="A55" s="28"/>
      <c r="B55" s="28"/>
      <c r="C55" s="28"/>
      <c r="D55" s="28"/>
      <c r="E55" s="28"/>
      <c r="F55" s="28"/>
      <c r="G55" s="28"/>
    </row>
    <row r="56" spans="1:7" x14ac:dyDescent="0.35">
      <c r="A56" s="28"/>
      <c r="B56" s="28"/>
      <c r="C56" s="28"/>
      <c r="D56" s="28"/>
      <c r="E56" s="28"/>
      <c r="F56" s="29"/>
      <c r="G56" s="30"/>
    </row>
    <row r="57" spans="1:7" x14ac:dyDescent="0.35">
      <c r="A57" s="28"/>
      <c r="B57" s="28"/>
      <c r="C57" s="28"/>
      <c r="D57" s="28"/>
      <c r="E57" s="28"/>
      <c r="F57" s="29"/>
      <c r="G57" s="30"/>
    </row>
    <row r="58" spans="1:7" x14ac:dyDescent="0.35">
      <c r="A58" s="28"/>
      <c r="B58" s="28"/>
      <c r="C58" s="28"/>
      <c r="D58" s="28"/>
      <c r="E58" s="28"/>
      <c r="F58" s="29"/>
      <c r="G58" s="30"/>
    </row>
  </sheetData>
  <mergeCells count="9">
    <mergeCell ref="A2:D2"/>
    <mergeCell ref="A1:D1"/>
    <mergeCell ref="A4:D4"/>
    <mergeCell ref="A12:D12"/>
    <mergeCell ref="A14:D14"/>
    <mergeCell ref="A16:D16"/>
    <mergeCell ref="A19:D19"/>
    <mergeCell ref="A22:D22"/>
    <mergeCell ref="A29:D2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BOM_Soldering_station_p1</vt:lpstr>
      <vt:lpstr>BOM_Soldering_station_p2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Am0k</dc:creator>
  <cp:lastModifiedBy>Am0k</cp:lastModifiedBy>
  <dcterms:created xsi:type="dcterms:W3CDTF">2024-08-11T08:40:54Z</dcterms:created>
  <dcterms:modified xsi:type="dcterms:W3CDTF">2025-12-07T16:12:34Z</dcterms:modified>
</cp:coreProperties>
</file>